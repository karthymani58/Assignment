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ha.IBIPMCFTLT004\Downloads\"/>
    </mc:Choice>
  </mc:AlternateContent>
  <bookViews>
    <workbookView xWindow="0" yWindow="0" windowWidth="20490" windowHeight="7650" activeTab="1"/>
  </bookViews>
  <sheets>
    <sheet name="Instructions" sheetId="1" r:id="rId1"/>
    <sheet name="Dataset" sheetId="2" r:id="rId2"/>
  </sheets>
  <definedNames>
    <definedName name="_xlnm._FilterDatabase" localSheetId="1" hidden="1">Dataset!$A$1:$L$35</definedName>
  </definedName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7" i="2" l="1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J2" i="2"/>
  <c r="I2" i="2"/>
  <c r="H2" i="2"/>
  <c r="L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<sst xmlns="http://schemas.openxmlformats.org/spreadsheetml/2006/main" count="170" uniqueCount="121">
  <si>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</si>
  <si>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</si>
  <si>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</si>
  <si>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</si>
  <si>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</si>
  <si>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</si>
  <si>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</si>
  <si>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</si>
  <si>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</si>
  <si>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</si>
  <si>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</si>
  <si>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</si>
  <si>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</si>
  <si>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</si>
  <si>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</si>
  <si>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</si>
  <si>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</si>
  <si>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</si>
  <si>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</si>
  <si>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</si>
  <si>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</si>
  <si>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</si>
  <si>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</si>
  <si>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</si>
  <si>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</si>
  <si>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</si>
  <si>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</si>
  <si>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</si>
  <si>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</si>
  <si>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</si>
  <si>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</si>
  <si>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</si>
  <si>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</si>
  <si>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</si>
  <si>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</si>
  <si>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</si>
  <si>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</si>
  <si>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</si>
  <si>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</si>
  <si>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</si>
  <si>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</si>
  <si>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</si>
  <si>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</si>
  <si>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</si>
  <si>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</si>
  <si>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</si>
  <si>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</si>
  <si>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</si>
  <si>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</si>
  <si>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</si>
  <si>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</si>
  <si>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</si>
  <si>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</si>
  <si>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</si>
  <si>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</si>
  <si>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</si>
  <si>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</si>
  <si>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</si>
  <si>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</si>
  <si>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</si>
  <si>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</si>
  <si>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</si>
  <si>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</si>
  <si>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</si>
  <si>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</si>
  <si>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</si>
  <si>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</si>
  <si>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</si>
  <si>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</si>
  <si>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</si>
  <si>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</si>
  <si>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</si>
  <si>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</si>
  <si>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</si>
  <si>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</si>
  <si>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</si>
  <si>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</si>
  <si>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</si>
  <si>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</si>
  <si>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</si>
  <si>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</si>
  <si>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</si>
  <si>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</si>
  <si>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</si>
  <si>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</si>
  <si>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</si>
  <si>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</si>
  <si>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</si>
  <si>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</si>
  <si>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</si>
  <si>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</si>
  <si>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</si>
  <si>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</si>
  <si>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</si>
  <si>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</si>
  <si>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</si>
  <si>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</si>
  <si>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</si>
  <si>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</si>
  <si>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</si>
  <si>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</si>
  <si>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</si>
  <si>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</si>
  <si>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</si>
  <si>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</si>
  <si>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</si>
  <si>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</si>
  <si>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</si>
  <si>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</si>
  <si>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</si>
  <si>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</si>
  <si>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</si>
  <si>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</t>
  </si>
  <si>
    <t>Month</t>
  </si>
  <si>
    <t>Products Count</t>
  </si>
  <si>
    <t>Total Price Of All Products</t>
  </si>
  <si>
    <t>Average Price</t>
  </si>
  <si>
    <t>Minimum Price</t>
  </si>
  <si>
    <t>Maximum Price</t>
  </si>
  <si>
    <t>Price Less Than 100</t>
  </si>
  <si>
    <t>Total Price Of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</si>
</sst>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0" fillId="0" borderId="1" xfId="0" applyFont="1" applyBorder="1" applyAlignment="1"/>
    <xf numFmtId="0" fontId="7" fillId="0" borderId="1" xfId="0" applyFont="1" applyBorder="1" applyAlignment="1"/>
    <xf numFmtId="164" fontId="7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C16" sqref="C1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topLeftCell="D1" workbookViewId="0">
      <selection activeCell="N15" sqref="N1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10" width="12.5703125" customWidth="1"/>
    <col min="11" max="11" width="23.42578125" bestFit="1" customWidth="1"/>
  </cols>
  <sheetData>
    <row r="1" spans="1:12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</row>
    <row r="2" spans="1:12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  <c r="K2" s="9" t="s">
        <v>115</v>
      </c>
      <c r="L2" s="10">
        <f>SUM(D2:D35)</f>
        <v>10100</v>
      </c>
    </row>
    <row r="3" spans="1:12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 t="str">
        <f t="shared" ref="G3:G35" si="0">IF(D3&gt;=500,"High Price","Standard Price")</f>
        <v>Standard Price</v>
      </c>
      <c r="H3" s="8" t="str">
        <f t="shared" ref="H3:H35" si="1">LEFT(A3,2)</f>
        <v>15</v>
      </c>
      <c r="I3" s="8" t="str">
        <f t="shared" ref="I3:I35" si="2">RIGHT(A3,2)</f>
        <v>US</v>
      </c>
      <c r="J3" s="8" t="str">
        <f t="shared" ref="J3:J35" si="3">MID(A3,4,3)</f>
        <v>FEB</v>
      </c>
      <c r="K3" s="9" t="s">
        <v>114</v>
      </c>
      <c r="L3" s="10">
        <f>COUNTA(B2:B35)</f>
        <v>34</v>
      </c>
    </row>
    <row r="4" spans="1:12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  <c r="K4" s="9" t="s">
        <v>116</v>
      </c>
      <c r="L4" s="11">
        <f>AVERAGE(D2:D35)</f>
        <v>297.05882352941177</v>
      </c>
    </row>
    <row r="5" spans="1:12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8" t="str">
        <f t="shared" si="0"/>
        <v>High Price</v>
      </c>
      <c r="H5" s="8" t="str">
        <f t="shared" si="1"/>
        <v>11</v>
      </c>
      <c r="I5" s="8" t="str">
        <f t="shared" si="2"/>
        <v>US</v>
      </c>
      <c r="J5" s="8" t="str">
        <f t="shared" si="3"/>
        <v>APR</v>
      </c>
      <c r="K5" s="9" t="s">
        <v>117</v>
      </c>
      <c r="L5" s="10">
        <f>MIN(D2:D35)</f>
        <v>30</v>
      </c>
    </row>
    <row r="6" spans="1:12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  <c r="K6" s="9" t="s">
        <v>118</v>
      </c>
      <c r="L6" s="10">
        <f>MAX(D2:D35)</f>
        <v>1000</v>
      </c>
    </row>
    <row r="7" spans="1:12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8" t="str">
        <f t="shared" si="0"/>
        <v>Standard Price</v>
      </c>
      <c r="H7" s="8" t="str">
        <f t="shared" si="1"/>
        <v>07</v>
      </c>
      <c r="I7" s="8" t="str">
        <f t="shared" si="2"/>
        <v>UK</v>
      </c>
      <c r="J7" s="8" t="str">
        <f t="shared" si="3"/>
        <v>JUN</v>
      </c>
      <c r="K7" s="9" t="s">
        <v>120</v>
      </c>
      <c r="L7" s="10">
        <f>SUMIF(F:F,F2,D:D)</f>
        <v>8050</v>
      </c>
    </row>
    <row r="8" spans="1:12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  <c r="K8" s="9" t="s">
        <v>119</v>
      </c>
      <c r="L8" s="10">
        <f>COUNTIF(D2:D35,"&lt;100")</f>
        <v>11</v>
      </c>
    </row>
    <row r="9" spans="1:12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8" t="str">
        <f t="shared" si="0"/>
        <v>Standard Price</v>
      </c>
      <c r="H9" s="8" t="str">
        <f t="shared" si="1"/>
        <v>23</v>
      </c>
      <c r="I9" s="8" t="str">
        <f t="shared" si="2"/>
        <v>UK</v>
      </c>
      <c r="J9" s="8" t="str">
        <f t="shared" si="3"/>
        <v>AUG</v>
      </c>
    </row>
    <row r="10" spans="1:12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</row>
    <row r="11" spans="1:12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8" t="str">
        <f t="shared" si="0"/>
        <v>Standard Price</v>
      </c>
      <c r="H11" s="8" t="str">
        <f t="shared" si="1"/>
        <v>14</v>
      </c>
      <c r="I11" s="8" t="str">
        <f t="shared" si="2"/>
        <v>UK</v>
      </c>
      <c r="J11" s="8" t="str">
        <f t="shared" si="3"/>
        <v>OCT</v>
      </c>
    </row>
    <row r="12" spans="1:12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</row>
    <row r="13" spans="1:12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8" t="str">
        <f t="shared" si="0"/>
        <v>Standard Price</v>
      </c>
      <c r="H13" s="8" t="str">
        <f t="shared" si="1"/>
        <v>25</v>
      </c>
      <c r="I13" s="8" t="str">
        <f t="shared" si="2"/>
        <v>AU</v>
      </c>
      <c r="J13" s="8" t="str">
        <f t="shared" si="3"/>
        <v>NOV</v>
      </c>
    </row>
    <row r="14" spans="1:12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2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8" t="str">
        <f t="shared" si="0"/>
        <v>Standard Price</v>
      </c>
      <c r="H15" s="8" t="str">
        <f t="shared" si="1"/>
        <v>18</v>
      </c>
      <c r="I15" s="8" t="str">
        <f t="shared" si="2"/>
        <v>CA</v>
      </c>
      <c r="J15" s="8" t="str">
        <f t="shared" si="3"/>
        <v>FEB</v>
      </c>
    </row>
    <row r="16" spans="1:12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0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8" t="str">
        <f t="shared" si="0"/>
        <v>Standard Price</v>
      </c>
      <c r="H17" s="8" t="str">
        <f t="shared" si="1"/>
        <v>21</v>
      </c>
      <c r="I17" s="8" t="str">
        <f t="shared" si="2"/>
        <v>CA</v>
      </c>
      <c r="J17" s="8" t="str">
        <f t="shared" si="3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0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8" t="str">
        <f t="shared" si="0"/>
        <v>High Price</v>
      </c>
      <c r="H19" s="8" t="str">
        <f t="shared" si="1"/>
        <v>27</v>
      </c>
      <c r="I19" s="8" t="str">
        <f t="shared" si="2"/>
        <v>IT</v>
      </c>
      <c r="J19" s="8" t="str">
        <f t="shared" si="3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0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8" t="str">
        <f t="shared" si="0"/>
        <v>Standard Price</v>
      </c>
      <c r="H21" s="8" t="str">
        <f t="shared" si="1"/>
        <v>14</v>
      </c>
      <c r="I21" s="8" t="str">
        <f t="shared" si="2"/>
        <v>US</v>
      </c>
      <c r="J21" s="8" t="str">
        <f t="shared" si="3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0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8" t="str">
        <f t="shared" si="0"/>
        <v>Standard Price</v>
      </c>
      <c r="H23" s="8" t="str">
        <f t="shared" si="1"/>
        <v>09</v>
      </c>
      <c r="I23" s="8" t="str">
        <f t="shared" si="2"/>
        <v>CA</v>
      </c>
      <c r="J23" s="8" t="str">
        <f t="shared" si="3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0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8" t="str">
        <f t="shared" si="0"/>
        <v>Standard Price</v>
      </c>
      <c r="H25" s="8" t="str">
        <f t="shared" si="1"/>
        <v>21</v>
      </c>
      <c r="I25" s="8" t="str">
        <f t="shared" si="2"/>
        <v>CA</v>
      </c>
      <c r="J25" s="8" t="str">
        <f t="shared" si="3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0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8" t="str">
        <f t="shared" si="0"/>
        <v>Standard Price</v>
      </c>
      <c r="H27" s="8" t="str">
        <f t="shared" si="1"/>
        <v>03</v>
      </c>
      <c r="I27" s="8" t="str">
        <f t="shared" si="2"/>
        <v>CA</v>
      </c>
      <c r="J27" s="8" t="str">
        <f t="shared" si="3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0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8" t="str">
        <f t="shared" si="0"/>
        <v>Standard Price</v>
      </c>
      <c r="H29" s="8" t="str">
        <f t="shared" si="1"/>
        <v>16</v>
      </c>
      <c r="I29" s="8" t="str">
        <f t="shared" si="2"/>
        <v>ES</v>
      </c>
      <c r="J29" s="8" t="str">
        <f t="shared" si="3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0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8" t="str">
        <f t="shared" si="0"/>
        <v>Standard Price</v>
      </c>
      <c r="H31" s="8" t="str">
        <f t="shared" si="1"/>
        <v>13</v>
      </c>
      <c r="I31" s="8" t="str">
        <f t="shared" si="2"/>
        <v>CA</v>
      </c>
      <c r="J31" s="8" t="str">
        <f t="shared" si="3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8" t="str">
        <f t="shared" si="0"/>
        <v>Standard Price</v>
      </c>
      <c r="H33" s="8" t="str">
        <f t="shared" si="1"/>
        <v>02</v>
      </c>
      <c r="I33" s="8" t="str">
        <f t="shared" si="2"/>
        <v>CA</v>
      </c>
      <c r="J33" s="8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8" t="str">
        <f t="shared" si="0"/>
        <v>Standard Price</v>
      </c>
      <c r="H35" s="8" t="str">
        <f t="shared" si="1"/>
        <v>09</v>
      </c>
      <c r="I35" s="8" t="str">
        <f t="shared" si="2"/>
        <v>FR</v>
      </c>
      <c r="J35" s="8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</cp:lastModifiedBy>
  <dcterms:modified xsi:type="dcterms:W3CDTF">2026-08-20T10:03:26Z</dcterms:modified>
</cp:coreProperties>
</file>